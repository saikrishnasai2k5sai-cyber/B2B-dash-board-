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aikr\Desktop\"/>
    </mc:Choice>
  </mc:AlternateContent>
  <xr:revisionPtr revIDLastSave="0" documentId="8_{F9D3F100-0FF0-4009-9FE8-0AC48D4FCBF1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Campaign_Data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1" i="1" l="1"/>
  <c r="H61" i="1"/>
  <c r="I60" i="1"/>
  <c r="H60" i="1"/>
  <c r="I59" i="1"/>
  <c r="H59" i="1"/>
  <c r="I58" i="1"/>
  <c r="H58" i="1"/>
  <c r="I57" i="1"/>
  <c r="H57" i="1"/>
  <c r="I56" i="1"/>
  <c r="H56" i="1"/>
  <c r="I55" i="1"/>
  <c r="H55" i="1"/>
  <c r="I54" i="1"/>
  <c r="H54" i="1"/>
  <c r="I53" i="1"/>
  <c r="H53" i="1"/>
  <c r="I52" i="1"/>
  <c r="H52" i="1"/>
  <c r="I51" i="1"/>
  <c r="H51" i="1"/>
  <c r="I50" i="1"/>
  <c r="H50" i="1"/>
  <c r="I49" i="1"/>
  <c r="H49" i="1"/>
  <c r="I48" i="1"/>
  <c r="H48" i="1"/>
  <c r="I47" i="1"/>
  <c r="H47" i="1"/>
  <c r="I46" i="1"/>
  <c r="H46" i="1"/>
  <c r="I45" i="1"/>
  <c r="H45" i="1"/>
  <c r="I44" i="1"/>
  <c r="H44" i="1"/>
  <c r="I43" i="1"/>
  <c r="H43" i="1"/>
  <c r="I42" i="1"/>
  <c r="H42" i="1"/>
  <c r="I41" i="1"/>
  <c r="H41" i="1"/>
  <c r="I40" i="1"/>
  <c r="H40" i="1"/>
  <c r="I39" i="1"/>
  <c r="H39" i="1"/>
  <c r="I38" i="1"/>
  <c r="H38" i="1"/>
  <c r="I37" i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H3" i="1"/>
  <c r="I2" i="1"/>
  <c r="H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Prepared for the assignment: B2B Marketing Campaign Automation and Performance Analytics Dashboard.</t>
        </r>
      </text>
    </comment>
  </commentList>
</comments>
</file>

<file path=xl/sharedStrings.xml><?xml version="1.0" encoding="utf-8"?>
<sst xmlns="http://schemas.openxmlformats.org/spreadsheetml/2006/main" count="189" uniqueCount="80">
  <si>
    <t>Campaign_ID</t>
  </si>
  <si>
    <t>Channel</t>
  </si>
  <si>
    <t>Region</t>
  </si>
  <si>
    <t>Budget</t>
  </si>
  <si>
    <t>Leads_Generated</t>
  </si>
  <si>
    <t>Conversions</t>
  </si>
  <si>
    <t>Revenue</t>
  </si>
  <si>
    <t>Conversion_Rate</t>
  </si>
  <si>
    <t>ROI</t>
  </si>
  <si>
    <t>C001</t>
  </si>
  <si>
    <t>Google Ads</t>
  </si>
  <si>
    <t>South</t>
  </si>
  <si>
    <t>C002</t>
  </si>
  <si>
    <t>Facebook</t>
  </si>
  <si>
    <t>West</t>
  </si>
  <si>
    <t>C003</t>
  </si>
  <si>
    <t>Email</t>
  </si>
  <si>
    <t>North</t>
  </si>
  <si>
    <t>C004</t>
  </si>
  <si>
    <t>LinkedIn</t>
  </si>
  <si>
    <t>East</t>
  </si>
  <si>
    <t>C005</t>
  </si>
  <si>
    <t>Instagram</t>
  </si>
  <si>
    <t>Central</t>
  </si>
  <si>
    <t>C006</t>
  </si>
  <si>
    <t>YouTube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</si>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</sst>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₹#,##0"/>
    <numFmt numFmtId="165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AFCFE"/>
      </patternFill>
    </fill>
  </fills>
  <borders count="2">
    <border>
      <left/>
      <right/>
      <top/>
      <bottom/>
      <diagonal/>
    </border>
    <border>
      <left/>
      <right/>
      <top/>
      <bottom style="thin">
        <color rgb="FFD1D5DB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164" fontId="0" fillId="3" borderId="0" xfId="0" applyNumberFormat="1" applyFill="1"/>
    <xf numFmtId="165" fontId="0" fillId="3" borderId="0" xfId="0" applyNumberFormat="1" applyFill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1036320</xdr:colOff>
      <xdr:row>41</xdr:row>
      <xdr:rowOff>121920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ECDB0DA7-90AE-9A96-5F65-D2D0990E948E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mpaignTable" displayName="CampaignTable" ref="A1:I61">
  <autoFilter ref="A1:I61" xr:uid="{00000000-0009-0000-0100-000001000000}"/>
  <tableColumns count="9">
    <tableColumn id="1" xr3:uid="{00000000-0010-0000-0000-000001000000}" name="Campaign_ID"/>
    <tableColumn id="2" xr3:uid="{00000000-0010-0000-0000-000002000000}" name="Channel"/>
    <tableColumn id="3" xr3:uid="{00000000-0010-0000-0000-000003000000}" name="Region"/>
    <tableColumn id="4" xr3:uid="{00000000-0010-0000-0000-000004000000}" name="Budget"/>
    <tableColumn id="5" xr3:uid="{00000000-0010-0000-0000-000005000000}" name="Leads_Generated"/>
    <tableColumn id="6" xr3:uid="{00000000-0010-0000-0000-000006000000}" name="Conversions"/>
    <tableColumn id="7" xr3:uid="{00000000-0010-0000-0000-000007000000}" name="Revenue"/>
    <tableColumn id="8" xr3:uid="{00000000-0010-0000-0000-000008000000}" name="Conversion_Rate"/>
    <tableColumn id="9" xr3:uid="{00000000-0010-0000-0000-000009000000}" name="ROI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1"/>
  <sheetViews>
    <sheetView showGridLines="0" tabSelected="1" zoomScaleNormal="100" workbookViewId="0"/>
  </sheetViews>
  <sheetFormatPr defaultRowHeight="14.4" x14ac:dyDescent="0.3"/>
  <cols>
    <col min="1" max="1" width="14" customWidth="1"/>
    <col min="2" max="2" width="15" customWidth="1"/>
    <col min="3" max="4" width="12" customWidth="1"/>
    <col min="5" max="5" width="18" customWidth="1"/>
    <col min="6" max="6" width="13" customWidth="1"/>
    <col min="7" max="7" width="12" customWidth="1"/>
    <col min="8" max="8" width="16" customWidth="1"/>
    <col min="9" max="9" width="12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 t="s">
        <v>10</v>
      </c>
      <c r="C2" s="2" t="s">
        <v>11</v>
      </c>
      <c r="D2" s="3">
        <v>42500</v>
      </c>
      <c r="E2" s="2">
        <v>1176</v>
      </c>
      <c r="F2" s="2">
        <v>175</v>
      </c>
      <c r="G2" s="3">
        <v>241000</v>
      </c>
      <c r="H2" s="4">
        <f t="shared" ref="H2:H33" si="0">IFERROR(F2/E2,0)</f>
        <v>0.14880952380952381</v>
      </c>
      <c r="I2" s="4">
        <f t="shared" ref="I2:I33" si="1">IFERROR((G2-D2)/D2,0)</f>
        <v>4.6705882352941179</v>
      </c>
    </row>
    <row r="3" spans="1:9" x14ac:dyDescent="0.3">
      <c r="A3" t="s">
        <v>12</v>
      </c>
      <c r="B3" t="s">
        <v>13</v>
      </c>
      <c r="C3" t="s">
        <v>14</v>
      </c>
      <c r="D3" s="5">
        <v>50000</v>
      </c>
      <c r="E3">
        <v>1332</v>
      </c>
      <c r="F3">
        <v>132</v>
      </c>
      <c r="G3" s="5">
        <v>184000</v>
      </c>
      <c r="H3" s="6">
        <f t="shared" si="0"/>
        <v>9.90990990990991E-2</v>
      </c>
      <c r="I3" s="6">
        <f t="shared" si="1"/>
        <v>2.68</v>
      </c>
    </row>
    <row r="4" spans="1:9" x14ac:dyDescent="0.3">
      <c r="A4" s="2" t="s">
        <v>15</v>
      </c>
      <c r="B4" s="2" t="s">
        <v>16</v>
      </c>
      <c r="C4" s="2" t="s">
        <v>17</v>
      </c>
      <c r="D4" s="3">
        <v>117500</v>
      </c>
      <c r="E4" s="2">
        <v>2163</v>
      </c>
      <c r="F4" s="2">
        <v>382</v>
      </c>
      <c r="G4" s="3">
        <v>364000</v>
      </c>
      <c r="H4" s="4">
        <f t="shared" si="0"/>
        <v>0.17660656495607951</v>
      </c>
      <c r="I4" s="4">
        <f t="shared" si="1"/>
        <v>2.0978723404255319</v>
      </c>
    </row>
    <row r="5" spans="1:9" x14ac:dyDescent="0.3">
      <c r="A5" t="s">
        <v>18</v>
      </c>
      <c r="B5" t="s">
        <v>19</v>
      </c>
      <c r="C5" t="s">
        <v>20</v>
      </c>
      <c r="D5" s="5">
        <v>35000</v>
      </c>
      <c r="E5">
        <v>474</v>
      </c>
      <c r="F5">
        <v>57</v>
      </c>
      <c r="G5" s="5">
        <v>101000</v>
      </c>
      <c r="H5" s="6">
        <f t="shared" si="0"/>
        <v>0.12025316455696203</v>
      </c>
      <c r="I5" s="6">
        <f t="shared" si="1"/>
        <v>1.8857142857142857</v>
      </c>
    </row>
    <row r="6" spans="1:9" x14ac:dyDescent="0.3">
      <c r="A6" s="2" t="s">
        <v>21</v>
      </c>
      <c r="B6" s="2" t="s">
        <v>22</v>
      </c>
      <c r="C6" s="2" t="s">
        <v>23</v>
      </c>
      <c r="D6" s="3">
        <v>112500</v>
      </c>
      <c r="E6" s="2">
        <v>2332</v>
      </c>
      <c r="F6" s="2">
        <v>253</v>
      </c>
      <c r="G6" s="3">
        <v>322000</v>
      </c>
      <c r="H6" s="4">
        <f t="shared" si="0"/>
        <v>0.10849056603773585</v>
      </c>
      <c r="I6" s="4">
        <f t="shared" si="1"/>
        <v>1.8622222222222222</v>
      </c>
    </row>
    <row r="7" spans="1:9" x14ac:dyDescent="0.3">
      <c r="A7" t="s">
        <v>24</v>
      </c>
      <c r="B7" t="s">
        <v>25</v>
      </c>
      <c r="C7" t="s">
        <v>11</v>
      </c>
      <c r="D7" s="5">
        <v>95000</v>
      </c>
      <c r="E7">
        <v>1745</v>
      </c>
      <c r="F7">
        <v>208</v>
      </c>
      <c r="G7" s="5">
        <v>268000</v>
      </c>
      <c r="H7" s="6">
        <f t="shared" si="0"/>
        <v>0.11919770773638969</v>
      </c>
      <c r="I7" s="6">
        <f t="shared" si="1"/>
        <v>1.8210526315789475</v>
      </c>
    </row>
    <row r="8" spans="1:9" x14ac:dyDescent="0.3">
      <c r="A8" s="2" t="s">
        <v>26</v>
      </c>
      <c r="B8" s="2" t="s">
        <v>10</v>
      </c>
      <c r="C8" s="2" t="s">
        <v>14</v>
      </c>
      <c r="D8" s="3">
        <v>32500</v>
      </c>
      <c r="E8" s="2">
        <v>1108</v>
      </c>
      <c r="F8" s="2">
        <v>169</v>
      </c>
      <c r="G8" s="3">
        <v>265000</v>
      </c>
      <c r="H8" s="4">
        <f t="shared" si="0"/>
        <v>0.15252707581227437</v>
      </c>
      <c r="I8" s="4">
        <f t="shared" si="1"/>
        <v>7.1538461538461542</v>
      </c>
    </row>
    <row r="9" spans="1:9" x14ac:dyDescent="0.3">
      <c r="A9" t="s">
        <v>27</v>
      </c>
      <c r="B9" t="s">
        <v>13</v>
      </c>
      <c r="C9" t="s">
        <v>17</v>
      </c>
      <c r="D9" s="5">
        <v>75000</v>
      </c>
      <c r="E9">
        <v>1881</v>
      </c>
      <c r="F9">
        <v>192</v>
      </c>
      <c r="G9" s="5">
        <v>287000</v>
      </c>
      <c r="H9" s="6">
        <f t="shared" si="0"/>
        <v>0.10207336523125997</v>
      </c>
      <c r="I9" s="6">
        <f t="shared" si="1"/>
        <v>2.8266666666666667</v>
      </c>
    </row>
    <row r="10" spans="1:9" x14ac:dyDescent="0.3">
      <c r="A10" s="2" t="s">
        <v>28</v>
      </c>
      <c r="B10" s="2" t="s">
        <v>16</v>
      </c>
      <c r="C10" s="2" t="s">
        <v>20</v>
      </c>
      <c r="D10" s="3">
        <v>77500</v>
      </c>
      <c r="E10" s="2">
        <v>1271</v>
      </c>
      <c r="F10" s="2">
        <v>198</v>
      </c>
      <c r="G10" s="3">
        <v>173000</v>
      </c>
      <c r="H10" s="4">
        <f t="shared" si="0"/>
        <v>0.15578284815106216</v>
      </c>
      <c r="I10" s="4">
        <f t="shared" si="1"/>
        <v>1.232258064516129</v>
      </c>
    </row>
    <row r="11" spans="1:9" x14ac:dyDescent="0.3">
      <c r="A11" t="s">
        <v>29</v>
      </c>
      <c r="B11" t="s">
        <v>19</v>
      </c>
      <c r="C11" t="s">
        <v>23</v>
      </c>
      <c r="D11" s="5">
        <v>85000</v>
      </c>
      <c r="E11">
        <v>1349</v>
      </c>
      <c r="F11">
        <v>167</v>
      </c>
      <c r="G11" s="5">
        <v>279000</v>
      </c>
      <c r="H11" s="6">
        <f t="shared" si="0"/>
        <v>0.12379540400296515</v>
      </c>
      <c r="I11" s="6">
        <f t="shared" si="1"/>
        <v>2.2823529411764705</v>
      </c>
    </row>
    <row r="12" spans="1:9" x14ac:dyDescent="0.3">
      <c r="A12" s="2" t="s">
        <v>30</v>
      </c>
      <c r="B12" s="2" t="s">
        <v>22</v>
      </c>
      <c r="C12" s="2" t="s">
        <v>11</v>
      </c>
      <c r="D12" s="3">
        <v>102500</v>
      </c>
      <c r="E12" s="2">
        <v>2166</v>
      </c>
      <c r="F12" s="2">
        <v>191</v>
      </c>
      <c r="G12" s="3">
        <v>248000</v>
      </c>
      <c r="H12" s="4">
        <f t="shared" si="0"/>
        <v>8.8180978762696219E-2</v>
      </c>
      <c r="I12" s="4">
        <f t="shared" si="1"/>
        <v>1.4195121951219511</v>
      </c>
    </row>
    <row r="13" spans="1:9" x14ac:dyDescent="0.3">
      <c r="A13" t="s">
        <v>31</v>
      </c>
      <c r="B13" t="s">
        <v>25</v>
      </c>
      <c r="C13" t="s">
        <v>14</v>
      </c>
      <c r="D13" s="5">
        <v>35000</v>
      </c>
      <c r="E13">
        <v>739</v>
      </c>
      <c r="F13">
        <v>85</v>
      </c>
      <c r="G13" s="5">
        <v>122000</v>
      </c>
      <c r="H13" s="6">
        <f t="shared" si="0"/>
        <v>0.11502029769959404</v>
      </c>
      <c r="I13" s="6">
        <f t="shared" si="1"/>
        <v>2.4857142857142858</v>
      </c>
    </row>
    <row r="14" spans="1:9" x14ac:dyDescent="0.3">
      <c r="A14" s="2" t="s">
        <v>32</v>
      </c>
      <c r="B14" s="2" t="s">
        <v>10</v>
      </c>
      <c r="C14" s="2" t="s">
        <v>17</v>
      </c>
      <c r="D14" s="3">
        <v>82500</v>
      </c>
      <c r="E14" s="2">
        <v>2666</v>
      </c>
      <c r="F14" s="2">
        <v>355</v>
      </c>
      <c r="G14" s="3">
        <v>505000</v>
      </c>
      <c r="H14" s="4">
        <f t="shared" si="0"/>
        <v>0.13315828957239309</v>
      </c>
      <c r="I14" s="4">
        <f t="shared" si="1"/>
        <v>5.1212121212121211</v>
      </c>
    </row>
    <row r="15" spans="1:9" x14ac:dyDescent="0.3">
      <c r="A15" t="s">
        <v>33</v>
      </c>
      <c r="B15" t="s">
        <v>13</v>
      </c>
      <c r="C15" t="s">
        <v>20</v>
      </c>
      <c r="D15" s="5">
        <v>65000</v>
      </c>
      <c r="E15">
        <v>1599</v>
      </c>
      <c r="F15">
        <v>164</v>
      </c>
      <c r="G15" s="5">
        <v>187000</v>
      </c>
      <c r="H15" s="6">
        <f t="shared" si="0"/>
        <v>0.10256410256410256</v>
      </c>
      <c r="I15" s="6">
        <f t="shared" si="1"/>
        <v>1.8769230769230769</v>
      </c>
    </row>
    <row r="16" spans="1:9" x14ac:dyDescent="0.3">
      <c r="A16" s="2" t="s">
        <v>34</v>
      </c>
      <c r="B16" s="2" t="s">
        <v>16</v>
      </c>
      <c r="C16" s="2" t="s">
        <v>23</v>
      </c>
      <c r="D16" s="3">
        <v>67500</v>
      </c>
      <c r="E16" s="2">
        <v>1160</v>
      </c>
      <c r="F16" s="2">
        <v>194</v>
      </c>
      <c r="G16" s="3">
        <v>192000</v>
      </c>
      <c r="H16" s="4">
        <f t="shared" si="0"/>
        <v>0.16724137931034483</v>
      </c>
      <c r="I16" s="4">
        <f t="shared" si="1"/>
        <v>1.8444444444444446</v>
      </c>
    </row>
    <row r="17" spans="1:9" x14ac:dyDescent="0.3">
      <c r="A17" t="s">
        <v>35</v>
      </c>
      <c r="B17" t="s">
        <v>19</v>
      </c>
      <c r="C17" t="s">
        <v>11</v>
      </c>
      <c r="D17" s="5">
        <v>80000</v>
      </c>
      <c r="E17">
        <v>1137</v>
      </c>
      <c r="F17">
        <v>144</v>
      </c>
      <c r="G17" s="5">
        <v>244000</v>
      </c>
      <c r="H17" s="6">
        <f t="shared" si="0"/>
        <v>0.12664907651715041</v>
      </c>
      <c r="I17" s="6">
        <f t="shared" si="1"/>
        <v>2.0499999999999998</v>
      </c>
    </row>
    <row r="18" spans="1:9" x14ac:dyDescent="0.3">
      <c r="A18" s="2" t="s">
        <v>36</v>
      </c>
      <c r="B18" s="2" t="s">
        <v>22</v>
      </c>
      <c r="C18" s="2" t="s">
        <v>14</v>
      </c>
      <c r="D18" s="3">
        <v>67500</v>
      </c>
      <c r="E18" s="2">
        <v>1545</v>
      </c>
      <c r="F18" s="2">
        <v>180</v>
      </c>
      <c r="G18" s="3">
        <v>231000</v>
      </c>
      <c r="H18" s="4">
        <f t="shared" si="0"/>
        <v>0.11650485436893204</v>
      </c>
      <c r="I18" s="4">
        <f t="shared" si="1"/>
        <v>2.4222222222222221</v>
      </c>
    </row>
    <row r="19" spans="1:9" x14ac:dyDescent="0.3">
      <c r="A19" t="s">
        <v>37</v>
      </c>
      <c r="B19" t="s">
        <v>25</v>
      </c>
      <c r="C19" t="s">
        <v>17</v>
      </c>
      <c r="D19" s="5">
        <v>125000</v>
      </c>
      <c r="E19">
        <v>2576</v>
      </c>
      <c r="F19">
        <v>290</v>
      </c>
      <c r="G19" s="5">
        <v>438000</v>
      </c>
      <c r="H19" s="6">
        <f t="shared" si="0"/>
        <v>0.1125776397515528</v>
      </c>
      <c r="I19" s="6">
        <f t="shared" si="1"/>
        <v>2.504</v>
      </c>
    </row>
    <row r="20" spans="1:9" x14ac:dyDescent="0.3">
      <c r="A20" s="2" t="s">
        <v>38</v>
      </c>
      <c r="B20" s="2" t="s">
        <v>10</v>
      </c>
      <c r="C20" s="2" t="s">
        <v>20</v>
      </c>
      <c r="D20" s="3">
        <v>57500</v>
      </c>
      <c r="E20" s="2">
        <v>1677</v>
      </c>
      <c r="F20" s="2">
        <v>227</v>
      </c>
      <c r="G20" s="3">
        <v>350000</v>
      </c>
      <c r="H20" s="4">
        <f t="shared" si="0"/>
        <v>0.13536076326774002</v>
      </c>
      <c r="I20" s="4">
        <f t="shared" si="1"/>
        <v>5.0869565217391308</v>
      </c>
    </row>
    <row r="21" spans="1:9" x14ac:dyDescent="0.3">
      <c r="A21" t="s">
        <v>39</v>
      </c>
      <c r="B21" t="s">
        <v>13</v>
      </c>
      <c r="C21" t="s">
        <v>23</v>
      </c>
      <c r="D21" s="5">
        <v>110000</v>
      </c>
      <c r="E21">
        <v>2616</v>
      </c>
      <c r="F21">
        <v>308</v>
      </c>
      <c r="G21" s="5">
        <v>429000</v>
      </c>
      <c r="H21" s="6">
        <f t="shared" si="0"/>
        <v>0.11773700305810397</v>
      </c>
      <c r="I21" s="6">
        <f t="shared" si="1"/>
        <v>2.9</v>
      </c>
    </row>
    <row r="22" spans="1:9" x14ac:dyDescent="0.3">
      <c r="A22" s="2" t="s">
        <v>40</v>
      </c>
      <c r="B22" s="2" t="s">
        <v>16</v>
      </c>
      <c r="C22" s="2" t="s">
        <v>11</v>
      </c>
      <c r="D22" s="3">
        <v>32500</v>
      </c>
      <c r="E22" s="2">
        <v>551</v>
      </c>
      <c r="F22" s="2">
        <v>100</v>
      </c>
      <c r="G22" s="3">
        <v>104000</v>
      </c>
      <c r="H22" s="4">
        <f t="shared" si="0"/>
        <v>0.18148820326678766</v>
      </c>
      <c r="I22" s="4">
        <f t="shared" si="1"/>
        <v>2.2000000000000002</v>
      </c>
    </row>
    <row r="23" spans="1:9" x14ac:dyDescent="0.3">
      <c r="A23" t="s">
        <v>41</v>
      </c>
      <c r="B23" t="s">
        <v>19</v>
      </c>
      <c r="C23" t="s">
        <v>14</v>
      </c>
      <c r="D23" s="5">
        <v>90000</v>
      </c>
      <c r="E23">
        <v>1365</v>
      </c>
      <c r="F23">
        <v>161</v>
      </c>
      <c r="G23" s="5">
        <v>326000</v>
      </c>
      <c r="H23" s="6">
        <f t="shared" si="0"/>
        <v>0.11794871794871795</v>
      </c>
      <c r="I23" s="6">
        <f t="shared" si="1"/>
        <v>2.6222222222222222</v>
      </c>
    </row>
    <row r="24" spans="1:9" x14ac:dyDescent="0.3">
      <c r="A24" s="2" t="s">
        <v>42</v>
      </c>
      <c r="B24" s="2" t="s">
        <v>22</v>
      </c>
      <c r="C24" s="2" t="s">
        <v>17</v>
      </c>
      <c r="D24" s="3">
        <v>122500</v>
      </c>
      <c r="E24" s="2">
        <v>2804</v>
      </c>
      <c r="F24" s="2">
        <v>273</v>
      </c>
      <c r="G24" s="3">
        <v>362000</v>
      </c>
      <c r="H24" s="4">
        <f t="shared" si="0"/>
        <v>9.7360912981455064E-2</v>
      </c>
      <c r="I24" s="4">
        <f t="shared" si="1"/>
        <v>1.9551020408163264</v>
      </c>
    </row>
    <row r="25" spans="1:9" x14ac:dyDescent="0.3">
      <c r="A25" t="s">
        <v>43</v>
      </c>
      <c r="B25" t="s">
        <v>25</v>
      </c>
      <c r="C25" t="s">
        <v>20</v>
      </c>
      <c r="D25" s="5">
        <v>85000</v>
      </c>
      <c r="E25">
        <v>1618</v>
      </c>
      <c r="F25">
        <v>191</v>
      </c>
      <c r="G25" s="5">
        <v>238000</v>
      </c>
      <c r="H25" s="6">
        <f t="shared" si="0"/>
        <v>0.1180469715698393</v>
      </c>
      <c r="I25" s="6">
        <f t="shared" si="1"/>
        <v>1.8</v>
      </c>
    </row>
    <row r="26" spans="1:9" x14ac:dyDescent="0.3">
      <c r="A26" s="2" t="s">
        <v>44</v>
      </c>
      <c r="B26" s="2" t="s">
        <v>10</v>
      </c>
      <c r="C26" s="2" t="s">
        <v>23</v>
      </c>
      <c r="D26" s="3">
        <v>62500</v>
      </c>
      <c r="E26" s="2">
        <v>1985</v>
      </c>
      <c r="F26" s="2">
        <v>285</v>
      </c>
      <c r="G26" s="3">
        <v>402000</v>
      </c>
      <c r="H26" s="4">
        <f t="shared" si="0"/>
        <v>0.14357682619647355</v>
      </c>
      <c r="I26" s="4">
        <f t="shared" si="1"/>
        <v>5.4320000000000004</v>
      </c>
    </row>
    <row r="27" spans="1:9" x14ac:dyDescent="0.3">
      <c r="A27" t="s">
        <v>45</v>
      </c>
      <c r="B27" t="s">
        <v>13</v>
      </c>
      <c r="C27" t="s">
        <v>11</v>
      </c>
      <c r="D27" s="5">
        <v>120000</v>
      </c>
      <c r="E27">
        <v>2851</v>
      </c>
      <c r="F27">
        <v>353</v>
      </c>
      <c r="G27" s="5">
        <v>443000</v>
      </c>
      <c r="H27" s="6">
        <f t="shared" si="0"/>
        <v>0.12381620484040687</v>
      </c>
      <c r="I27" s="6">
        <f t="shared" si="1"/>
        <v>2.6916666666666669</v>
      </c>
    </row>
    <row r="28" spans="1:9" x14ac:dyDescent="0.3">
      <c r="A28" s="2" t="s">
        <v>46</v>
      </c>
      <c r="B28" s="2" t="s">
        <v>16</v>
      </c>
      <c r="C28" s="2" t="s">
        <v>14</v>
      </c>
      <c r="D28" s="3">
        <v>67500</v>
      </c>
      <c r="E28" s="2">
        <v>1194</v>
      </c>
      <c r="F28" s="2">
        <v>206</v>
      </c>
      <c r="G28" s="3">
        <v>193000</v>
      </c>
      <c r="H28" s="4">
        <f t="shared" si="0"/>
        <v>0.17252931323283083</v>
      </c>
      <c r="I28" s="4">
        <f t="shared" si="1"/>
        <v>1.8592592592592592</v>
      </c>
    </row>
    <row r="29" spans="1:9" x14ac:dyDescent="0.3">
      <c r="A29" t="s">
        <v>47</v>
      </c>
      <c r="B29" t="s">
        <v>19</v>
      </c>
      <c r="C29" t="s">
        <v>17</v>
      </c>
      <c r="D29" s="5">
        <v>30000</v>
      </c>
      <c r="E29">
        <v>420</v>
      </c>
      <c r="F29">
        <v>51</v>
      </c>
      <c r="G29" s="5">
        <v>92000</v>
      </c>
      <c r="H29" s="6">
        <f t="shared" si="0"/>
        <v>0.12142857142857143</v>
      </c>
      <c r="I29" s="6">
        <f t="shared" si="1"/>
        <v>2.0666666666666669</v>
      </c>
    </row>
    <row r="30" spans="1:9" x14ac:dyDescent="0.3">
      <c r="A30" s="2" t="s">
        <v>48</v>
      </c>
      <c r="B30" s="2" t="s">
        <v>22</v>
      </c>
      <c r="C30" s="2" t="s">
        <v>20</v>
      </c>
      <c r="D30" s="3">
        <v>92500</v>
      </c>
      <c r="E30" s="2">
        <v>1917</v>
      </c>
      <c r="F30" s="2">
        <v>163</v>
      </c>
      <c r="G30" s="3">
        <v>185000</v>
      </c>
      <c r="H30" s="4">
        <f t="shared" si="0"/>
        <v>8.5028690662493481E-2</v>
      </c>
      <c r="I30" s="4">
        <f t="shared" si="1"/>
        <v>1</v>
      </c>
    </row>
    <row r="31" spans="1:9" x14ac:dyDescent="0.3">
      <c r="A31" t="s">
        <v>49</v>
      </c>
      <c r="B31" t="s">
        <v>25</v>
      </c>
      <c r="C31" t="s">
        <v>23</v>
      </c>
      <c r="D31" s="5">
        <v>100000</v>
      </c>
      <c r="E31">
        <v>1955</v>
      </c>
      <c r="F31">
        <v>221</v>
      </c>
      <c r="G31" s="5">
        <v>307000</v>
      </c>
      <c r="H31" s="6">
        <f t="shared" si="0"/>
        <v>0.11304347826086956</v>
      </c>
      <c r="I31" s="6">
        <f t="shared" si="1"/>
        <v>2.0699999999999998</v>
      </c>
    </row>
    <row r="32" spans="1:9" x14ac:dyDescent="0.3">
      <c r="A32" s="2" t="s">
        <v>50</v>
      </c>
      <c r="B32" s="2" t="s">
        <v>10</v>
      </c>
      <c r="C32" s="2" t="s">
        <v>11</v>
      </c>
      <c r="D32" s="3">
        <v>32500</v>
      </c>
      <c r="E32" s="2">
        <v>1050</v>
      </c>
      <c r="F32" s="2">
        <v>155</v>
      </c>
      <c r="G32" s="3">
        <v>233000</v>
      </c>
      <c r="H32" s="4">
        <f t="shared" si="0"/>
        <v>0.14761904761904762</v>
      </c>
      <c r="I32" s="4">
        <f t="shared" si="1"/>
        <v>6.1692307692307695</v>
      </c>
    </row>
    <row r="33" spans="1:9" x14ac:dyDescent="0.3">
      <c r="A33" t="s">
        <v>51</v>
      </c>
      <c r="B33" t="s">
        <v>13</v>
      </c>
      <c r="C33" t="s">
        <v>14</v>
      </c>
      <c r="D33" s="5">
        <v>110000</v>
      </c>
      <c r="E33">
        <v>2805</v>
      </c>
      <c r="F33">
        <v>293</v>
      </c>
      <c r="G33" s="5">
        <v>401000</v>
      </c>
      <c r="H33" s="6">
        <f t="shared" si="0"/>
        <v>0.10445632798573976</v>
      </c>
      <c r="I33" s="6">
        <f t="shared" si="1"/>
        <v>2.6454545454545455</v>
      </c>
    </row>
    <row r="34" spans="1:9" x14ac:dyDescent="0.3">
      <c r="A34" s="2" t="s">
        <v>52</v>
      </c>
      <c r="B34" s="2" t="s">
        <v>16</v>
      </c>
      <c r="C34" s="2" t="s">
        <v>17</v>
      </c>
      <c r="D34" s="3">
        <v>42500</v>
      </c>
      <c r="E34" s="2">
        <v>798</v>
      </c>
      <c r="F34" s="2">
        <v>137</v>
      </c>
      <c r="G34" s="3">
        <v>142000</v>
      </c>
      <c r="H34" s="4">
        <f t="shared" ref="H34:H61" si="2">IFERROR(F34/E34,0)</f>
        <v>0.17167919799498746</v>
      </c>
      <c r="I34" s="4">
        <f t="shared" ref="I34:I61" si="3">IFERROR((G34-D34)/D34,0)</f>
        <v>2.3411764705882354</v>
      </c>
    </row>
    <row r="35" spans="1:9" x14ac:dyDescent="0.3">
      <c r="A35" t="s">
        <v>53</v>
      </c>
      <c r="B35" t="s">
        <v>19</v>
      </c>
      <c r="C35" t="s">
        <v>20</v>
      </c>
      <c r="D35" s="5">
        <v>70000</v>
      </c>
      <c r="E35">
        <v>1046</v>
      </c>
      <c r="F35">
        <v>144</v>
      </c>
      <c r="G35" s="5">
        <v>252000</v>
      </c>
      <c r="H35" s="6">
        <f t="shared" si="2"/>
        <v>0.13766730401529637</v>
      </c>
      <c r="I35" s="6">
        <f t="shared" si="3"/>
        <v>2.6</v>
      </c>
    </row>
    <row r="36" spans="1:9" x14ac:dyDescent="0.3">
      <c r="A36" s="2" t="s">
        <v>54</v>
      </c>
      <c r="B36" s="2" t="s">
        <v>22</v>
      </c>
      <c r="C36" s="2" t="s">
        <v>23</v>
      </c>
      <c r="D36" s="3">
        <v>47500</v>
      </c>
      <c r="E36" s="2">
        <v>1078</v>
      </c>
      <c r="F36" s="2">
        <v>102</v>
      </c>
      <c r="G36" s="3">
        <v>128000</v>
      </c>
      <c r="H36" s="4">
        <f t="shared" si="2"/>
        <v>9.4619666048237475E-2</v>
      </c>
      <c r="I36" s="4">
        <f t="shared" si="3"/>
        <v>1.6947368421052631</v>
      </c>
    </row>
    <row r="37" spans="1:9" x14ac:dyDescent="0.3">
      <c r="A37" t="s">
        <v>55</v>
      </c>
      <c r="B37" t="s">
        <v>25</v>
      </c>
      <c r="C37" t="s">
        <v>11</v>
      </c>
      <c r="D37" s="5">
        <v>120000</v>
      </c>
      <c r="E37">
        <v>2204</v>
      </c>
      <c r="F37">
        <v>241</v>
      </c>
      <c r="G37" s="5">
        <v>342000</v>
      </c>
      <c r="H37" s="6">
        <f t="shared" si="2"/>
        <v>0.10934664246823957</v>
      </c>
      <c r="I37" s="6">
        <f t="shared" si="3"/>
        <v>1.85</v>
      </c>
    </row>
    <row r="38" spans="1:9" x14ac:dyDescent="0.3">
      <c r="A38" s="2" t="s">
        <v>56</v>
      </c>
      <c r="B38" s="2" t="s">
        <v>10</v>
      </c>
      <c r="C38" s="2" t="s">
        <v>14</v>
      </c>
      <c r="D38" s="3">
        <v>112500</v>
      </c>
      <c r="E38" s="2">
        <v>3562</v>
      </c>
      <c r="F38" s="2">
        <v>557</v>
      </c>
      <c r="G38" s="3">
        <v>909000</v>
      </c>
      <c r="H38" s="4">
        <f t="shared" si="2"/>
        <v>0.15637282425603594</v>
      </c>
      <c r="I38" s="4">
        <f t="shared" si="3"/>
        <v>7.08</v>
      </c>
    </row>
    <row r="39" spans="1:9" x14ac:dyDescent="0.3">
      <c r="A39" t="s">
        <v>57</v>
      </c>
      <c r="B39" t="s">
        <v>13</v>
      </c>
      <c r="C39" t="s">
        <v>17</v>
      </c>
      <c r="D39" s="5">
        <v>125000</v>
      </c>
      <c r="E39">
        <v>3152</v>
      </c>
      <c r="F39">
        <v>357</v>
      </c>
      <c r="G39" s="5">
        <v>452000</v>
      </c>
      <c r="H39" s="6">
        <f t="shared" si="2"/>
        <v>0.11326142131979695</v>
      </c>
      <c r="I39" s="6">
        <f t="shared" si="3"/>
        <v>2.6160000000000001</v>
      </c>
    </row>
    <row r="40" spans="1:9" x14ac:dyDescent="0.3">
      <c r="A40" s="2" t="s">
        <v>58</v>
      </c>
      <c r="B40" s="2" t="s">
        <v>16</v>
      </c>
      <c r="C40" s="2" t="s">
        <v>20</v>
      </c>
      <c r="D40" s="3">
        <v>87500</v>
      </c>
      <c r="E40" s="2">
        <v>1494</v>
      </c>
      <c r="F40" s="2">
        <v>240</v>
      </c>
      <c r="G40" s="3">
        <v>216000</v>
      </c>
      <c r="H40" s="4">
        <f t="shared" si="2"/>
        <v>0.1606425702811245</v>
      </c>
      <c r="I40" s="4">
        <f t="shared" si="3"/>
        <v>1.4685714285714286</v>
      </c>
    </row>
    <row r="41" spans="1:9" x14ac:dyDescent="0.3">
      <c r="A41" t="s">
        <v>59</v>
      </c>
      <c r="B41" t="s">
        <v>19</v>
      </c>
      <c r="C41" t="s">
        <v>23</v>
      </c>
      <c r="D41" s="5">
        <v>115000</v>
      </c>
      <c r="E41">
        <v>1665</v>
      </c>
      <c r="F41">
        <v>196</v>
      </c>
      <c r="G41" s="5">
        <v>359000</v>
      </c>
      <c r="H41" s="6">
        <f t="shared" si="2"/>
        <v>0.11771771771771772</v>
      </c>
      <c r="I41" s="6">
        <f t="shared" si="3"/>
        <v>2.1217391304347828</v>
      </c>
    </row>
    <row r="42" spans="1:9" x14ac:dyDescent="0.3">
      <c r="A42" s="2" t="s">
        <v>60</v>
      </c>
      <c r="B42" s="2" t="s">
        <v>22</v>
      </c>
      <c r="C42" s="2" t="s">
        <v>11</v>
      </c>
      <c r="D42" s="3">
        <v>37500</v>
      </c>
      <c r="E42" s="2">
        <v>886</v>
      </c>
      <c r="F42" s="2">
        <v>90</v>
      </c>
      <c r="G42" s="3">
        <v>100000</v>
      </c>
      <c r="H42" s="4">
        <f t="shared" si="2"/>
        <v>0.10158013544018059</v>
      </c>
      <c r="I42" s="4">
        <f t="shared" si="3"/>
        <v>1.6666666666666667</v>
      </c>
    </row>
    <row r="43" spans="1:9" x14ac:dyDescent="0.3">
      <c r="A43" t="s">
        <v>61</v>
      </c>
      <c r="B43" t="s">
        <v>25</v>
      </c>
      <c r="C43" t="s">
        <v>14</v>
      </c>
      <c r="D43" s="5">
        <v>105000</v>
      </c>
      <c r="E43">
        <v>2095</v>
      </c>
      <c r="F43">
        <v>233</v>
      </c>
      <c r="G43" s="5">
        <v>329000</v>
      </c>
      <c r="H43" s="6">
        <f t="shared" si="2"/>
        <v>0.11121718377088305</v>
      </c>
      <c r="I43" s="6">
        <f t="shared" si="3"/>
        <v>2.1333333333333333</v>
      </c>
    </row>
    <row r="44" spans="1:9" x14ac:dyDescent="0.3">
      <c r="A44" s="2" t="s">
        <v>62</v>
      </c>
      <c r="B44" s="2" t="s">
        <v>10</v>
      </c>
      <c r="C44" s="2" t="s">
        <v>17</v>
      </c>
      <c r="D44" s="3">
        <v>127500</v>
      </c>
      <c r="E44" s="2">
        <v>4044</v>
      </c>
      <c r="F44" s="2">
        <v>642</v>
      </c>
      <c r="G44" s="3">
        <v>1081000</v>
      </c>
      <c r="H44" s="4">
        <f t="shared" si="2"/>
        <v>0.15875370919881307</v>
      </c>
      <c r="I44" s="4">
        <f t="shared" si="3"/>
        <v>7.4784313725490197</v>
      </c>
    </row>
    <row r="45" spans="1:9" x14ac:dyDescent="0.3">
      <c r="A45" t="s">
        <v>63</v>
      </c>
      <c r="B45" t="s">
        <v>13</v>
      </c>
      <c r="C45" t="s">
        <v>20</v>
      </c>
      <c r="D45" s="5">
        <v>55000</v>
      </c>
      <c r="E45">
        <v>1356</v>
      </c>
      <c r="F45">
        <v>140</v>
      </c>
      <c r="G45" s="5">
        <v>191000</v>
      </c>
      <c r="H45" s="6">
        <f t="shared" si="2"/>
        <v>0.10324483775811209</v>
      </c>
      <c r="I45" s="6">
        <f t="shared" si="3"/>
        <v>2.4727272727272727</v>
      </c>
    </row>
    <row r="46" spans="1:9" x14ac:dyDescent="0.3">
      <c r="A46" s="2" t="s">
        <v>64</v>
      </c>
      <c r="B46" s="2" t="s">
        <v>16</v>
      </c>
      <c r="C46" s="2" t="s">
        <v>23</v>
      </c>
      <c r="D46" s="3">
        <v>82500</v>
      </c>
      <c r="E46" s="2">
        <v>1517</v>
      </c>
      <c r="F46" s="2">
        <v>280</v>
      </c>
      <c r="G46" s="3">
        <v>277000</v>
      </c>
      <c r="H46" s="4">
        <f t="shared" si="2"/>
        <v>0.18457481872116019</v>
      </c>
      <c r="I46" s="4">
        <f t="shared" si="3"/>
        <v>2.3575757575757574</v>
      </c>
    </row>
    <row r="47" spans="1:9" x14ac:dyDescent="0.3">
      <c r="A47" t="s">
        <v>65</v>
      </c>
      <c r="B47" t="s">
        <v>19</v>
      </c>
      <c r="C47" t="s">
        <v>11</v>
      </c>
      <c r="D47" s="5">
        <v>65000</v>
      </c>
      <c r="E47">
        <v>932</v>
      </c>
      <c r="F47">
        <v>108</v>
      </c>
      <c r="G47" s="5">
        <v>176000</v>
      </c>
      <c r="H47" s="6">
        <f t="shared" si="2"/>
        <v>0.11587982832618025</v>
      </c>
      <c r="I47" s="6">
        <f t="shared" si="3"/>
        <v>1.7076923076923076</v>
      </c>
    </row>
    <row r="48" spans="1:9" x14ac:dyDescent="0.3">
      <c r="A48" s="2" t="s">
        <v>66</v>
      </c>
      <c r="B48" s="2" t="s">
        <v>22</v>
      </c>
      <c r="C48" s="2" t="s">
        <v>14</v>
      </c>
      <c r="D48" s="3">
        <v>117500</v>
      </c>
      <c r="E48" s="2">
        <v>2495</v>
      </c>
      <c r="F48" s="2">
        <v>263</v>
      </c>
      <c r="G48" s="3">
        <v>297000</v>
      </c>
      <c r="H48" s="4">
        <f t="shared" si="2"/>
        <v>0.10541082164328658</v>
      </c>
      <c r="I48" s="4">
        <f t="shared" si="3"/>
        <v>1.5276595744680852</v>
      </c>
    </row>
    <row r="49" spans="1:9" x14ac:dyDescent="0.3">
      <c r="A49" t="s">
        <v>67</v>
      </c>
      <c r="B49" t="s">
        <v>25</v>
      </c>
      <c r="C49" t="s">
        <v>17</v>
      </c>
      <c r="D49" s="5">
        <v>30000</v>
      </c>
      <c r="E49">
        <v>576</v>
      </c>
      <c r="F49">
        <v>63</v>
      </c>
      <c r="G49" s="5">
        <v>83000</v>
      </c>
      <c r="H49" s="6">
        <f t="shared" si="2"/>
        <v>0.109375</v>
      </c>
      <c r="I49" s="6">
        <f t="shared" si="3"/>
        <v>1.7666666666666666</v>
      </c>
    </row>
    <row r="50" spans="1:9" x14ac:dyDescent="0.3">
      <c r="A50" s="2" t="s">
        <v>68</v>
      </c>
      <c r="B50" s="2" t="s">
        <v>10</v>
      </c>
      <c r="C50" s="2" t="s">
        <v>20</v>
      </c>
      <c r="D50" s="3">
        <v>77500</v>
      </c>
      <c r="E50" s="2">
        <v>2147</v>
      </c>
      <c r="F50" s="2">
        <v>301</v>
      </c>
      <c r="G50" s="3">
        <v>405000</v>
      </c>
      <c r="H50" s="4">
        <f t="shared" si="2"/>
        <v>0.14019562179785747</v>
      </c>
      <c r="I50" s="4">
        <f t="shared" si="3"/>
        <v>4.225806451612903</v>
      </c>
    </row>
    <row r="51" spans="1:9" x14ac:dyDescent="0.3">
      <c r="A51" t="s">
        <v>69</v>
      </c>
      <c r="B51" t="s">
        <v>13</v>
      </c>
      <c r="C51" t="s">
        <v>23</v>
      </c>
      <c r="D51" s="5">
        <v>105000</v>
      </c>
      <c r="E51">
        <v>2494</v>
      </c>
      <c r="F51">
        <v>281</v>
      </c>
      <c r="G51" s="5">
        <v>383000</v>
      </c>
      <c r="H51" s="6">
        <f t="shared" si="2"/>
        <v>0.11267040898155574</v>
      </c>
      <c r="I51" s="6">
        <f t="shared" si="3"/>
        <v>2.6476190476190475</v>
      </c>
    </row>
    <row r="52" spans="1:9" x14ac:dyDescent="0.3">
      <c r="A52" s="2" t="s">
        <v>70</v>
      </c>
      <c r="B52" s="2" t="s">
        <v>16</v>
      </c>
      <c r="C52" s="2" t="s">
        <v>11</v>
      </c>
      <c r="D52" s="3">
        <v>122500</v>
      </c>
      <c r="E52" s="2">
        <v>2228</v>
      </c>
      <c r="F52" s="2">
        <v>378</v>
      </c>
      <c r="G52" s="3">
        <v>391000</v>
      </c>
      <c r="H52" s="4">
        <f t="shared" si="2"/>
        <v>0.16965888689407541</v>
      </c>
      <c r="I52" s="4">
        <f t="shared" si="3"/>
        <v>2.1918367346938776</v>
      </c>
    </row>
    <row r="53" spans="1:9" x14ac:dyDescent="0.3">
      <c r="A53" t="s">
        <v>71</v>
      </c>
      <c r="B53" t="s">
        <v>19</v>
      </c>
      <c r="C53" t="s">
        <v>14</v>
      </c>
      <c r="D53" s="5">
        <v>90000</v>
      </c>
      <c r="E53">
        <v>1345</v>
      </c>
      <c r="F53">
        <v>160</v>
      </c>
      <c r="G53" s="5">
        <v>309000</v>
      </c>
      <c r="H53" s="6">
        <f t="shared" si="2"/>
        <v>0.11895910780669144</v>
      </c>
      <c r="I53" s="6">
        <f t="shared" si="3"/>
        <v>2.4333333333333331</v>
      </c>
    </row>
    <row r="54" spans="1:9" x14ac:dyDescent="0.3">
      <c r="A54" s="2" t="s">
        <v>72</v>
      </c>
      <c r="B54" s="2" t="s">
        <v>22</v>
      </c>
      <c r="C54" s="2" t="s">
        <v>17</v>
      </c>
      <c r="D54" s="3">
        <v>82500</v>
      </c>
      <c r="E54" s="2">
        <v>1847</v>
      </c>
      <c r="F54" s="2">
        <v>186</v>
      </c>
      <c r="G54" s="3">
        <v>256000</v>
      </c>
      <c r="H54" s="4">
        <f t="shared" si="2"/>
        <v>0.10070384407146725</v>
      </c>
      <c r="I54" s="4">
        <f t="shared" si="3"/>
        <v>2.103030303030303</v>
      </c>
    </row>
    <row r="55" spans="1:9" x14ac:dyDescent="0.3">
      <c r="A55" t="s">
        <v>73</v>
      </c>
      <c r="B55" t="s">
        <v>25</v>
      </c>
      <c r="C55" t="s">
        <v>20</v>
      </c>
      <c r="D55" s="5">
        <v>35000</v>
      </c>
      <c r="E55">
        <v>724</v>
      </c>
      <c r="F55">
        <v>90</v>
      </c>
      <c r="G55" s="5">
        <v>121000</v>
      </c>
      <c r="H55" s="6">
        <f t="shared" si="2"/>
        <v>0.12430939226519337</v>
      </c>
      <c r="I55" s="6">
        <f t="shared" si="3"/>
        <v>2.4571428571428573</v>
      </c>
    </row>
    <row r="56" spans="1:9" x14ac:dyDescent="0.3">
      <c r="A56" s="2" t="s">
        <v>74</v>
      </c>
      <c r="B56" s="2" t="s">
        <v>10</v>
      </c>
      <c r="C56" s="2" t="s">
        <v>23</v>
      </c>
      <c r="D56" s="3">
        <v>37500</v>
      </c>
      <c r="E56" s="2">
        <v>1148</v>
      </c>
      <c r="F56" s="2">
        <v>171</v>
      </c>
      <c r="G56" s="3">
        <v>268000</v>
      </c>
      <c r="H56" s="4">
        <f t="shared" si="2"/>
        <v>0.14895470383275261</v>
      </c>
      <c r="I56" s="4">
        <f t="shared" si="3"/>
        <v>6.1466666666666665</v>
      </c>
    </row>
    <row r="57" spans="1:9" x14ac:dyDescent="0.3">
      <c r="A57" t="s">
        <v>75</v>
      </c>
      <c r="B57" t="s">
        <v>13</v>
      </c>
      <c r="C57" t="s">
        <v>11</v>
      </c>
      <c r="D57" s="5">
        <v>40000</v>
      </c>
      <c r="E57">
        <v>924</v>
      </c>
      <c r="F57">
        <v>93</v>
      </c>
      <c r="G57" s="5">
        <v>120000</v>
      </c>
      <c r="H57" s="6">
        <f t="shared" si="2"/>
        <v>0.10064935064935066</v>
      </c>
      <c r="I57" s="6">
        <f t="shared" si="3"/>
        <v>2</v>
      </c>
    </row>
    <row r="58" spans="1:9" x14ac:dyDescent="0.3">
      <c r="A58" s="2" t="s">
        <v>76</v>
      </c>
      <c r="B58" s="2" t="s">
        <v>16</v>
      </c>
      <c r="C58" s="2" t="s">
        <v>14</v>
      </c>
      <c r="D58" s="3">
        <v>47500</v>
      </c>
      <c r="E58" s="2">
        <v>900</v>
      </c>
      <c r="F58" s="2">
        <v>146</v>
      </c>
      <c r="G58" s="3">
        <v>148000</v>
      </c>
      <c r="H58" s="4">
        <f t="shared" si="2"/>
        <v>0.16222222222222221</v>
      </c>
      <c r="I58" s="4">
        <f t="shared" si="3"/>
        <v>2.1157894736842104</v>
      </c>
    </row>
    <row r="59" spans="1:9" x14ac:dyDescent="0.3">
      <c r="A59" t="s">
        <v>77</v>
      </c>
      <c r="B59" t="s">
        <v>19</v>
      </c>
      <c r="C59" t="s">
        <v>17</v>
      </c>
      <c r="D59" s="5">
        <v>40000</v>
      </c>
      <c r="E59">
        <v>663</v>
      </c>
      <c r="F59">
        <v>95</v>
      </c>
      <c r="G59" s="5">
        <v>196000</v>
      </c>
      <c r="H59" s="6">
        <f t="shared" si="2"/>
        <v>0.14328808446455504</v>
      </c>
      <c r="I59" s="6">
        <f t="shared" si="3"/>
        <v>3.9</v>
      </c>
    </row>
    <row r="60" spans="1:9" x14ac:dyDescent="0.3">
      <c r="A60" s="2" t="s">
        <v>78</v>
      </c>
      <c r="B60" s="2" t="s">
        <v>22</v>
      </c>
      <c r="C60" s="2" t="s">
        <v>20</v>
      </c>
      <c r="D60" s="3">
        <v>47500</v>
      </c>
      <c r="E60" s="2">
        <v>880</v>
      </c>
      <c r="F60" s="2">
        <v>92</v>
      </c>
      <c r="G60" s="3">
        <v>108000</v>
      </c>
      <c r="H60" s="4">
        <f t="shared" si="2"/>
        <v>0.10454545454545454</v>
      </c>
      <c r="I60" s="4">
        <f t="shared" si="3"/>
        <v>1.2736842105263158</v>
      </c>
    </row>
    <row r="61" spans="1:9" x14ac:dyDescent="0.3">
      <c r="A61" t="s">
        <v>79</v>
      </c>
      <c r="B61" t="s">
        <v>25</v>
      </c>
      <c r="C61" t="s">
        <v>23</v>
      </c>
      <c r="D61" s="5">
        <v>25000</v>
      </c>
      <c r="E61">
        <v>418</v>
      </c>
      <c r="F61">
        <v>57</v>
      </c>
      <c r="G61" s="5">
        <v>84000</v>
      </c>
      <c r="H61" s="6">
        <f t="shared" si="2"/>
        <v>0.13636363636363635</v>
      </c>
      <c r="I61" s="6">
        <f t="shared" si="3"/>
        <v>2.36</v>
      </c>
    </row>
  </sheetData>
  <pageMargins left="0.7" right="0.7" top="0.75" bottom="0.75" header="0.3" footer="0.3"/>
  <drawing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krishna .</dc:creator>
  <cp:lastModifiedBy>Sai krishna .</cp:lastModifiedBy>
  <dcterms:created xsi:type="dcterms:W3CDTF">2026-03-26T11:37:13Z</dcterms:created>
  <dcterms:modified xsi:type="dcterms:W3CDTF">2026-03-26T11:37:13Z</dcterms:modified>
</cp:coreProperties>
</file>